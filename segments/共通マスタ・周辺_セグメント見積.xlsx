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780" yWindow="4920" windowWidth="18730" windowHeight="9000" tabRatio="600" firstSheet="0" activeTab="1" autoFilterDateGrouping="1"/>
  </bookViews>
  <sheets>
    <sheet name="試算条件" sheetId="1" state="visible" r:id="rId1"/>
    <sheet name="セグメント見積" sheetId="2" state="visible" r:id="rId2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8">
    <font>
      <name val="ＭＳ Ｐゴシック"/>
      <family val="2"/>
      <color theme="1"/>
      <sz val="11"/>
      <scheme val="minor"/>
    </font>
    <font>
      <name val="BIZ UDPゴシック"/>
      <charset val="128"/>
      <family val="3"/>
      <b val="1"/>
      <color rgb="FFFFFFFF"/>
      <sz val="14"/>
    </font>
    <font>
      <name val="BIZ UDPゴシック"/>
      <charset val="128"/>
      <family val="3"/>
      <b val="1"/>
      <color rgb="FF1F4E78"/>
      <sz val="11"/>
    </font>
    <font>
      <name val="BIZ UDPゴシック"/>
      <charset val="128"/>
      <family val="3"/>
      <b val="1"/>
      <sz val="10"/>
    </font>
    <font>
      <name val="BIZ UDPゴシック"/>
      <charset val="128"/>
      <family val="3"/>
      <sz val="10"/>
    </font>
    <font>
      <name val="BIZ UDPゴシック"/>
      <charset val="128"/>
      <family val="3"/>
      <b val="1"/>
      <color rgb="FF9C6500"/>
      <sz val="10"/>
    </font>
    <font>
      <name val="BIZ UDPゴシック"/>
      <charset val="128"/>
      <family val="3"/>
      <i val="1"/>
      <color rgb="FF808080"/>
      <sz val="9"/>
    </font>
    <font>
      <name val="ＭＳ Ｐゴシック"/>
      <charset val="128"/>
      <family val="3"/>
      <sz val="6"/>
      <scheme val="minor"/>
    </font>
  </fonts>
  <fills count="6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  <fill>
      <patternFill patternType="solid">
        <fgColor rgb="FFFFF2CC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3" fontId="5" fillId="4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 wrapText="1"/>
    </xf>
    <xf numFmtId="166" fontId="4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 wrapText="1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center" vertical="center" wrapText="1"/>
    </xf>
    <xf numFmtId="0" fontId="0" fillId="0" borderId="0" pivotButton="0" quotePrefix="0" xfId="0"/>
    <xf numFmtId="164" fontId="5" fillId="4" borderId="1" applyAlignment="1" pivotButton="0" quotePrefix="0" xfId="0">
      <alignment horizontal="right" vertical="center"/>
    </xf>
    <xf numFmtId="165" fontId="5" fillId="4" borderId="1" applyAlignment="1" pivotButton="0" quotePrefix="0" xfId="0">
      <alignment horizontal="right" vertical="center"/>
    </xf>
    <xf numFmtId="166" fontId="4" fillId="5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166" fontId="3" fillId="0" borderId="1" applyAlignment="1" pivotButton="0" quotePrefix="0" xfId="0">
      <alignment horizontal="right" vertical="center"/>
    </xf>
    <xf numFmtId="166" fontId="3" fillId="5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36"/>
  <sheetViews>
    <sheetView topLeftCell="A10" workbookViewId="0">
      <selection activeCell="C11" sqref="C11"/>
    </sheetView>
  </sheetViews>
  <sheetFormatPr baseColWidth="8" defaultRowHeight="13"/>
  <cols>
    <col width="2" customWidth="1" style="19" min="1" max="1"/>
    <col width="42" customWidth="1" style="19" min="2" max="2"/>
    <col width="18" customWidth="1" style="19" min="3" max="6"/>
    <col width="40" customWidth="1" style="19" min="7" max="7"/>
  </cols>
  <sheetData>
    <row r="1" ht="26.15" customHeight="1" s="19">
      <c r="B1" s="18" t="inlineStr">
        <is>
          <t>試算条件</t>
        </is>
      </c>
    </row>
    <row r="3">
      <c r="B3" s="1" t="inlineStr">
        <is>
          <t>■ 単価（万円/人月）</t>
        </is>
      </c>
    </row>
    <row r="4">
      <c r="B4" s="2" t="inlineStr">
        <is>
          <t>区分</t>
        </is>
      </c>
      <c r="C4" s="2" t="inlineStr">
        <is>
          <t>国内BP単価（原価）</t>
        </is>
      </c>
      <c r="D4" s="2" t="inlineStr">
        <is>
          <t>ODC単価（原価）</t>
        </is>
      </c>
      <c r="E4" s="2" t="inlineStr">
        <is>
          <t>国内BP単価（売値）</t>
        </is>
      </c>
      <c r="F4" s="2" t="inlineStr">
        <is>
          <t>ODC単価（売値）</t>
        </is>
      </c>
    </row>
    <row r="5">
      <c r="B5" s="3" t="inlineStr">
        <is>
          <t>保守</t>
        </is>
      </c>
      <c r="C5" s="4" t="n">
        <v>80</v>
      </c>
      <c r="D5" s="4" t="n">
        <v>50</v>
      </c>
      <c r="E5" s="4" t="n">
        <v>115</v>
      </c>
      <c r="F5" s="4" t="n">
        <v>85</v>
      </c>
    </row>
    <row r="6">
      <c r="B6" s="3" t="inlineStr">
        <is>
          <t>開発</t>
        </is>
      </c>
      <c r="C6" s="4" t="n">
        <v>80</v>
      </c>
      <c r="D6" s="4" t="n">
        <v>50</v>
      </c>
      <c r="E6" s="4" t="n">
        <v>115</v>
      </c>
      <c r="F6" s="4" t="n">
        <v>85</v>
      </c>
    </row>
    <row r="8">
      <c r="B8" s="1" t="inlineStr">
        <is>
          <t>■ 全体設定</t>
        </is>
      </c>
    </row>
    <row r="9">
      <c r="B9" s="2" t="inlineStr">
        <is>
          <t>項目</t>
        </is>
      </c>
      <c r="C9" s="2" t="inlineStr">
        <is>
          <t>設定値</t>
        </is>
      </c>
      <c r="D9" s="2" t="inlineStr">
        <is>
          <t>備考</t>
        </is>
      </c>
    </row>
    <row r="10" ht="34.5" customHeight="1" s="19">
      <c r="B10" s="5" t="inlineStr">
        <is>
          <t>当社割合（SCSK担当割合）</t>
        </is>
      </c>
      <c r="C10" s="20" t="n">
        <v>0</v>
      </c>
      <c r="D10" s="5" t="inlineStr">
        <is>
          <t>←当社が担当する割合。他社割合＝1−当社割合</t>
        </is>
      </c>
    </row>
    <row r="11" ht="34.5" customHeight="1" s="19">
      <c r="B11" s="5" t="inlineStr">
        <is>
          <t>業務移管コスト計上方式</t>
        </is>
      </c>
      <c r="C11" s="7" t="inlineStr">
        <is>
          <t>売上計上（顧客請求）</t>
        </is>
      </c>
      <c r="D11" s="5" t="inlineStr">
        <is>
          <t>←"原価計上（当社持ち出し）" または "売上計上（顧客請求）"</t>
        </is>
      </c>
    </row>
    <row r="13">
      <c r="B13" s="1" t="inlineStr">
        <is>
          <t>■ 試算因子</t>
        </is>
      </c>
    </row>
    <row r="14">
      <c r="B14" s="2" t="inlineStr">
        <is>
          <t>項目</t>
        </is>
      </c>
      <c r="C14" s="2" t="inlineStr">
        <is>
          <t>1年目（27年度）</t>
        </is>
      </c>
      <c r="D14" s="2" t="inlineStr">
        <is>
          <t>2年目（28年度）</t>
        </is>
      </c>
      <c r="E14" s="2" t="inlineStr">
        <is>
          <t>3年目（29年度）</t>
        </is>
      </c>
      <c r="F14" s="2" t="inlineStr">
        <is>
          <t>備考</t>
        </is>
      </c>
    </row>
    <row r="15">
      <c r="B15" s="5" t="inlineStr">
        <is>
          <t>顧客向けコスト低減率（当社担当分）</t>
        </is>
      </c>
      <c r="C15" s="20" t="n">
        <v>0.1</v>
      </c>
      <c r="D15" s="20" t="n">
        <v>0.2</v>
      </c>
      <c r="E15" s="20" t="n">
        <v>0.35</v>
      </c>
      <c r="F15" s="5" t="n"/>
    </row>
    <row r="16">
      <c r="B16" s="5" t="inlineStr">
        <is>
          <t>顧客向けコスト低減率（他社担当分）</t>
        </is>
      </c>
      <c r="C16" s="20" t="n">
        <v>0</v>
      </c>
      <c r="D16" s="20" t="n">
        <v>0.15</v>
      </c>
      <c r="E16" s="20" t="n">
        <v>0.3</v>
      </c>
      <c r="F16" s="5" t="n"/>
    </row>
    <row r="17" ht="34.5" customHeight="1" s="19">
      <c r="B17" s="5" t="inlineStr">
        <is>
          <t>移管領域の実業務割合</t>
        </is>
      </c>
      <c r="C17" s="20" t="n">
        <v>0.5</v>
      </c>
      <c r="D17" s="20" t="n">
        <v>1</v>
      </c>
      <c r="E17" s="20" t="n">
        <v>1</v>
      </c>
      <c r="F17" s="5" t="inlineStr">
        <is>
          <t>←1年目は段階的移行のため50%。当社の実効割合に乗算</t>
        </is>
      </c>
    </row>
    <row r="18" ht="23" customHeight="1" s="19">
      <c r="B18" s="5" t="inlineStr">
        <is>
          <t>業務移管コスト率（他社保守のみ適用）</t>
        </is>
      </c>
      <c r="C18" s="20" t="n">
        <v>0.3</v>
      </c>
      <c r="D18" s="20" t="n">
        <v>0</v>
      </c>
      <c r="E18" s="20" t="n">
        <v>0</v>
      </c>
      <c r="F18" s="5" t="inlineStr">
        <is>
          <t>←業務移管コスト。他社保守1年目のみ適用</t>
        </is>
      </c>
    </row>
    <row r="19">
      <c r="B19" s="5" t="inlineStr">
        <is>
          <t>ODC活用率（当社担当分）</t>
        </is>
      </c>
      <c r="C19" s="20" t="n">
        <v>0.1</v>
      </c>
      <c r="D19" s="20" t="n">
        <v>0.25</v>
      </c>
      <c r="E19" s="20" t="n">
        <v>0.5</v>
      </c>
      <c r="F19" s="5" t="inlineStr">
        <is>
          <t>←当社担当分のODC活用率 ※WK白地シート準拠</t>
        </is>
      </c>
    </row>
    <row r="20">
      <c r="B20" s="5" t="inlineStr">
        <is>
          <t>ODC活用率（他社担当分）</t>
        </is>
      </c>
      <c r="C20" s="20" t="n">
        <v>0</v>
      </c>
      <c r="D20" s="20" t="n">
        <v>0.1</v>
      </c>
      <c r="E20" s="20" t="n">
        <v>0.3</v>
      </c>
      <c r="F20" s="5" t="inlineStr">
        <is>
          <t>←他社担当分のODC活用率 ※WK白地シート準拠</t>
        </is>
      </c>
    </row>
    <row r="21" ht="23" customHeight="1" s="19">
      <c r="B21" s="5" t="inlineStr">
        <is>
          <t>ODC単価率（ODC/国内）</t>
        </is>
      </c>
      <c r="C21" s="20" t="n">
        <v>0.625</v>
      </c>
      <c r="D21" s="20" t="n">
        <v>0.625</v>
      </c>
      <c r="E21" s="20" t="n">
        <v>0.625</v>
      </c>
      <c r="F21" s="5" t="inlineStr">
        <is>
          <t>←ODC50万/国内80万</t>
        </is>
      </c>
    </row>
    <row r="22" s="19">
      <c r="B22" s="5" t="inlineStr">
        <is>
          <t>生産性向上率（保守）当社担当分・ソーシング</t>
        </is>
      </c>
      <c r="C22" s="20" t="n">
        <v>0.1</v>
      </c>
      <c r="D22" s="20" t="n">
        <v>0.2</v>
      </c>
      <c r="E22" s="20" t="n">
        <v>0.2</v>
      </c>
      <c r="F22" s="5" t="inlineStr">
        <is>
          <t>ソーシング効果分 ※WK白地シート準拠</t>
        </is>
      </c>
    </row>
    <row r="23">
      <c r="B23" s="5" t="inlineStr">
        <is>
          <t>生産性向上率（保守）当社担当分・AI活用</t>
        </is>
      </c>
      <c r="C23" s="20" t="n">
        <v>0</v>
      </c>
      <c r="D23" s="20" t="n">
        <v>0.1</v>
      </c>
      <c r="E23" s="20" t="n">
        <v>0.23</v>
      </c>
      <c r="F23" s="5" t="inlineStr">
        <is>
          <t>AI活用効果分 ※WK白地シート準拠</t>
        </is>
      </c>
    </row>
    <row r="24" s="19">
      <c r="B24" s="5" t="inlineStr">
        <is>
          <t>生産性向上率（開発）当社担当分・ソーシング</t>
        </is>
      </c>
      <c r="C24" s="20" t="n">
        <v>0.1</v>
      </c>
      <c r="D24" s="20" t="n">
        <v>0.2</v>
      </c>
      <c r="E24" s="20" t="n">
        <v>0.2</v>
      </c>
      <c r="F24" s="5" t="inlineStr">
        <is>
          <t>ソーシング効果分 ※WK白地シート準拠</t>
        </is>
      </c>
    </row>
    <row r="25">
      <c r="B25" s="5" t="inlineStr">
        <is>
          <t>生産性向上率（開発）当社担当分・AI活用</t>
        </is>
      </c>
      <c r="C25" s="20" t="n">
        <v>0</v>
      </c>
      <c r="D25" s="20" t="n">
        <v>0.15</v>
      </c>
      <c r="E25" s="20" t="n">
        <v>0.3</v>
      </c>
      <c r="F25" s="5" t="inlineStr">
        <is>
          <t>AI活用効果分 ※WK白地シート準拠</t>
        </is>
      </c>
    </row>
    <row r="26" ht="23" customHeight="1" s="19">
      <c r="B26" s="5" t="inlineStr">
        <is>
          <t>生産性向上率（保守）他社担当分・ソーシング</t>
        </is>
      </c>
      <c r="C26" s="20" t="n">
        <v>0.05</v>
      </c>
      <c r="D26" s="20" t="n">
        <v>0.1</v>
      </c>
      <c r="E26" s="20" t="n">
        <v>0.2</v>
      </c>
      <c r="F26" s="5" t="inlineStr">
        <is>
          <t>ソーシング効果分 ※WK白地シート準拠</t>
        </is>
      </c>
    </row>
    <row r="27" ht="23" customHeight="1" s="19">
      <c r="B27" s="5" t="inlineStr">
        <is>
          <t>生産性向上率（保守）他社担当分・AI活用</t>
        </is>
      </c>
      <c r="C27" s="20" t="n">
        <v>0</v>
      </c>
      <c r="D27" s="20" t="n">
        <v>0.1</v>
      </c>
      <c r="E27" s="20" t="n">
        <v>0.15</v>
      </c>
      <c r="F27" s="5" t="inlineStr">
        <is>
          <t>AI活用効果分 ※WK白地シート準拠</t>
        </is>
      </c>
    </row>
    <row r="28" s="19">
      <c r="B28" s="5" t="inlineStr">
        <is>
          <t>生産性向上率（開発）他社担当分・ソーシング</t>
        </is>
      </c>
      <c r="C28" s="20" t="n">
        <v>0.05</v>
      </c>
      <c r="D28" s="20" t="n">
        <v>0.1</v>
      </c>
      <c r="E28" s="20" t="n">
        <v>0.2</v>
      </c>
      <c r="F28" s="5" t="inlineStr">
        <is>
          <t>ソーシング効果分 ※WK白地シート準拠</t>
        </is>
      </c>
    </row>
    <row r="29">
      <c r="B29" s="5" t="inlineStr">
        <is>
          <t>生産性向上率（開発）他社担当分・AI活用</t>
        </is>
      </c>
      <c r="C29" s="20" t="n">
        <v>0</v>
      </c>
      <c r="D29" s="20" t="n">
        <v>0.15</v>
      </c>
      <c r="E29" s="20" t="n">
        <v>0.3</v>
      </c>
      <c r="F29" s="5" t="inlineStr">
        <is>
          <t>AI活用効果分 ※WK白地シート準拠</t>
        </is>
      </c>
    </row>
    <row r="30">
      <c r="B30" s="5" t="inlineStr">
        <is>
          <t>現行粗利率（保守）</t>
        </is>
      </c>
      <c r="C30" s="20" t="n">
        <v>0.3</v>
      </c>
      <c r="D30" s="20" t="n">
        <v>0.3</v>
      </c>
      <c r="E30" s="20" t="n">
        <v>0.3</v>
      </c>
      <c r="F30" s="5" t="inlineStr">
        <is>
          <t>←売上に対して既存の粗利率を適用</t>
        </is>
      </c>
    </row>
    <row r="31" s="19">
      <c r="B31" s="5" t="inlineStr">
        <is>
          <t>現行粗利率（開発）</t>
        </is>
      </c>
      <c r="C31" s="20" t="n">
        <v>0.3</v>
      </c>
      <c r="D31" s="20" t="n">
        <v>0.3</v>
      </c>
      <c r="E31" s="20" t="n">
        <v>0.3</v>
      </c>
      <c r="F31" s="5" t="inlineStr">
        <is>
          <t>←売上に対して既存の粗利率を適用</t>
        </is>
      </c>
    </row>
    <row r="33">
      <c r="B33" s="5" t="inlineStr">
        <is>
          <t>既存パートナー比率</t>
        </is>
      </c>
      <c r="C33" s="20" t="n">
        <v>0.9</v>
      </c>
      <c r="D33" s="20" t="n">
        <v>0.75</v>
      </c>
      <c r="E33" s="20" t="n">
        <v>0.5</v>
      </c>
      <c r="F33" s="5" t="inlineStr">
        <is>
          <t>既存パートナー(BP)が占める比率(WK白地に合わせ年度別逓減)</t>
        </is>
      </c>
    </row>
    <row r="34">
      <c r="B34" s="5" t="inlineStr">
        <is>
          <t>通常原価率</t>
        </is>
      </c>
      <c r="C34" s="20" t="n">
        <v>0.7</v>
      </c>
      <c r="D34" s="20" t="n">
        <v>0.7</v>
      </c>
      <c r="E34" s="20" t="n">
        <v>0.7</v>
      </c>
      <c r="F34" s="5" t="inlineStr">
        <is>
          <t>通常時の売上に対する原価率</t>
        </is>
      </c>
    </row>
    <row r="35">
      <c r="B35" s="5" t="inlineStr">
        <is>
          <t>既存パートナー原価率</t>
        </is>
      </c>
      <c r="C35" s="20" t="n">
        <v>0.95</v>
      </c>
      <c r="D35" s="20" t="n">
        <v>0.95</v>
      </c>
      <c r="E35" s="20" t="n">
        <v>0.95</v>
      </c>
      <c r="F35" s="5" t="inlineStr">
        <is>
          <t>既存パートナー分の売上に対する原価率(粗利10%想定)</t>
        </is>
      </c>
    </row>
    <row r="36">
      <c r="B36" s="5" t="inlineStr">
        <is>
          <t>実効原価率</t>
        </is>
      </c>
      <c r="C36" s="20">
        <f>C33*C35+(1-C33)*C34</f>
        <v/>
      </c>
      <c r="D36" s="20">
        <f>D33*D35+(1-D33)*D34</f>
        <v/>
      </c>
      <c r="E36" s="20">
        <f>E33*E35+(1-E33)*E34</f>
        <v/>
      </c>
      <c r="F36" s="5" t="inlineStr">
        <is>
          <t>＝既存パートナー比率×既存パートナー原価率＋(1−既存パートナー比率)×通常原価率</t>
        </is>
      </c>
    </row>
  </sheetData>
  <mergeCells count="1">
    <mergeCell ref="B1:G1"/>
  </mergeCells>
  <dataValidations count="1">
    <dataValidation sqref="C11" showDropDown="0" showInputMessage="0" showErrorMessage="0" allowBlank="1" type="list">
      <formula1>"原価計上（当社持ち出し）,売上計上（顧客請求）"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82"/>
  <sheetViews>
    <sheetView tabSelected="1" topLeftCell="A51" workbookViewId="0">
      <selection activeCell="H58" sqref="H58"/>
    </sheetView>
  </sheetViews>
  <sheetFormatPr baseColWidth="8" defaultRowHeight="13"/>
  <cols>
    <col width="2" customWidth="1" style="19" min="1" max="1"/>
    <col width="38" customWidth="1" style="19" min="2" max="2"/>
    <col width="16" customWidth="1" style="19" min="3" max="8"/>
  </cols>
  <sheetData>
    <row r="1" ht="28" customHeight="1" s="19">
      <c r="B1" s="18" t="inlineStr">
        <is>
          <t>セグメント見積コスト試算シート（4区分・当社割合ベース）</t>
        </is>
      </c>
    </row>
    <row r="3">
      <c r="B3" s="1" t="inlineStr">
        <is>
          <t>■ A. セグメント基本情報（入力）</t>
        </is>
      </c>
    </row>
    <row r="4">
      <c r="B4" s="2" t="inlineStr">
        <is>
          <t>項目</t>
        </is>
      </c>
      <c r="C4" s="2" t="inlineStr">
        <is>
          <t>設定値</t>
        </is>
      </c>
      <c r="D4" s="2" t="inlineStr">
        <is>
          <t>備考</t>
        </is>
      </c>
    </row>
    <row r="5" s="19">
      <c r="B5" s="5" t="inlineStr">
        <is>
          <t>セグメント名</t>
        </is>
      </c>
      <c r="C5" s="7" t="inlineStr">
        <is>
          <t>共通マスタ・周辺</t>
        </is>
      </c>
      <c r="D5" s="5" t="n"/>
    </row>
    <row r="6" ht="34.5" customHeight="1" s="19">
      <c r="B6" s="5" t="inlineStr">
        <is>
          <t>分類</t>
        </is>
      </c>
      <c r="C6" s="7" t="inlineStr">
        <is>
          <t>②COB白地</t>
        </is>
      </c>
      <c r="D6" s="5" t="inlineStr">
        <is>
          <t>セグメントの分類区分（①COB既存・隣接／②COB白地／③デジタル から選択）</t>
        </is>
      </c>
    </row>
    <row r="7" ht="23" customHeight="1" s="19">
      <c r="B7" s="5" t="inlineStr">
        <is>
          <t>経済安保対象（ODC除外）</t>
        </is>
      </c>
      <c r="C7" s="7" t="n">
        <v>113.35</v>
      </c>
      <c r="D7" s="5" t="inlineStr">
        <is>
          <t>◎=除外 / ×=可（保険金・マリン等は◎）</t>
        </is>
      </c>
    </row>
    <row r="8" ht="23" customHeight="1" s="19">
      <c r="B8" s="5" t="inlineStr">
        <is>
          <t>保守合計（億円）※基準値</t>
        </is>
      </c>
      <c r="C8" s="21" t="n">
        <v>0.84</v>
      </c>
      <c r="D8" s="5" t="inlineStr">
        <is>
          <t>←試算の基準値。年度共通</t>
        </is>
      </c>
    </row>
    <row r="9">
      <c r="B9" s="5" t="inlineStr">
        <is>
          <t>開発合計（億円）※基準値</t>
        </is>
      </c>
      <c r="C9" s="21" t="n">
        <v>2.13</v>
      </c>
      <c r="D9" s="5" t="inlineStr">
        <is>
          <t>←試算の基準値。年度共通</t>
        </is>
      </c>
    </row>
    <row r="10" ht="26" customHeight="1" s="19"/>
    <row r="11">
      <c r="B11" s="1" t="inlineStr">
        <is>
          <t>■ B. 当社割合による按分結果（百万円）※目標値（基準値ベース）</t>
        </is>
      </c>
    </row>
    <row r="12" ht="46" customHeight="1" s="19">
      <c r="B12" s="2" t="inlineStr">
        <is>
          <t>区分</t>
        </is>
      </c>
      <c r="C12" s="2" t="inlineStr">
        <is>
          <t>金額（百万円）</t>
        </is>
      </c>
      <c r="D12" s="2" t="inlineStr">
        <is>
          <t>備考</t>
        </is>
      </c>
    </row>
    <row r="13" ht="46" customHeight="1" s="19">
      <c r="B13" s="5" t="inlineStr">
        <is>
          <t>当社保守</t>
        </is>
      </c>
      <c r="C13" s="22">
        <f>C8*100*試算条件!$C$10</f>
        <v/>
      </c>
      <c r="D13" s="5" t="inlineStr">
        <is>
          <t>＝保守基準値 × 当社割合（Y1は移管過渡期のため実業務は50%）</t>
        </is>
      </c>
    </row>
    <row r="14" ht="46" customHeight="1" s="19">
      <c r="B14" s="5" t="inlineStr">
        <is>
          <t>当社開発</t>
        </is>
      </c>
      <c r="C14" s="22">
        <f>C9*100*試算条件!$C$10</f>
        <v/>
      </c>
      <c r="D14" s="5" t="inlineStr">
        <is>
          <t>＝開発基準値 × 当社割合（Y1は移管過渡期のため実業務は50%）</t>
        </is>
      </c>
    </row>
    <row r="15" ht="46" customHeight="1" s="19">
      <c r="B15" s="5" t="inlineStr">
        <is>
          <t>他社保守</t>
        </is>
      </c>
      <c r="C15" s="22">
        <f>C8*100*(1-試算条件!$C$10)</f>
        <v/>
      </c>
      <c r="D15" s="5" t="inlineStr">
        <is>
          <t>＝保守基準値 × 他社割合（Y1は当社移管未了分を他社が担当）</t>
        </is>
      </c>
    </row>
    <row r="16" ht="21" customHeight="1" s="19">
      <c r="B16" s="5" t="inlineStr">
        <is>
          <t>他社開発</t>
        </is>
      </c>
      <c r="C16" s="22">
        <f>C9*100*(1-試算条件!$C$10)</f>
        <v/>
      </c>
      <c r="D16" s="5" t="inlineStr">
        <is>
          <t>＝開発基準値 × 他社割合（Y1は当社移管未了分を他社が担当）</t>
        </is>
      </c>
    </row>
    <row r="17">
      <c r="B17" s="10" t="inlineStr">
        <is>
          <t>※C〜F各セクションでは「移管領域の実業務割合」を考慮した年度別の実効値で計算されます。</t>
        </is>
      </c>
    </row>
    <row r="18" ht="26" customHeight="1" s="19"/>
    <row r="19">
      <c r="B19" s="1" t="inlineStr">
        <is>
          <t>■ C. 当社保守 損益シミュレーション（百万円）</t>
        </is>
      </c>
    </row>
    <row r="20">
      <c r="B20" s="2" t="inlineStr">
        <is>
          <t>区分</t>
        </is>
      </c>
      <c r="C20" s="2" t="inlineStr">
        <is>
          <t>1年目</t>
        </is>
      </c>
      <c r="D20" s="2" t="inlineStr">
        <is>
          <t>2年目</t>
        </is>
      </c>
      <c r="E20" s="2" t="inlineStr">
        <is>
          <t>3年目</t>
        </is>
      </c>
      <c r="F20" s="2" t="inlineStr">
        <is>
          <t>3年累計</t>
        </is>
      </c>
    </row>
    <row r="21">
      <c r="B21" s="5" t="inlineStr">
        <is>
          <t>売上（百万円）</t>
        </is>
      </c>
      <c r="C21" s="23">
        <f>$C$8*100*試算条件!$C$10*(1-試算条件!C15)</f>
        <v/>
      </c>
      <c r="D21" s="23">
        <f>$C$8*100*試算条件!$C$10*(1-試算条件!D15)</f>
        <v/>
      </c>
      <c r="E21" s="23">
        <f>$C$8*100*試算条件!$C$10*(1-試算条件!E15)</f>
        <v/>
      </c>
      <c r="F21" s="22">
        <f>SUM(C21:E21)</f>
        <v/>
      </c>
    </row>
    <row r="22">
      <c r="B22" s="5" t="inlineStr">
        <is>
          <t>原価_国内（百万円）</t>
        </is>
      </c>
      <c r="C22" s="23">
        <f>IF($C$6="②COB白地",$C$8*100*試算条件!$C$10*(1-(試算条件!C22+試算条件!C23))*(試算条件!C$33*試算条件!C$35+(1-試算条件!C$33)*試算条件!C$34*(1-試算条件!C19)),$C$8*100*試算条件!$C$10*(1-試算条件!C30)*(1-(試算条件!C22+試算条件!C23))*(1-試算条件!C19))</f>
        <v/>
      </c>
      <c r="D22" s="23">
        <f>IF($C$6="②COB白地",$C$8*100*試算条件!$C$10*(1-(試算条件!D22+試算条件!D23))*(試算条件!D$33*試算条件!D$35+(1-試算条件!D$33)*試算条件!D$34*(1-試算条件!D19)),$C$8*100*試算条件!$C$10*(1-試算条件!D30)*(1-(試算条件!D22+試算条件!D23))*(1-試算条件!D19))</f>
        <v/>
      </c>
      <c r="E22" s="23">
        <f>IF($C$6="②COB白地",$C$8*100*試算条件!$C$10*(1-(試算条件!E22+試算条件!E23))*(試算条件!E$33*試算条件!E$35+(1-試算条件!E$33)*試算条件!E$34*(1-試算条件!E19)),$C$8*100*試算条件!$C$10*(1-試算条件!E30)*(1-(試算条件!E22+試算条件!E23))*(1-試算条件!E19))</f>
        <v/>
      </c>
      <c r="F22" s="22">
        <f>SUM(C22:E22)</f>
        <v/>
      </c>
    </row>
    <row r="23">
      <c r="B23" s="5" t="inlineStr">
        <is>
          <t>原価_ODC（百万円）</t>
        </is>
      </c>
      <c r="C23" s="23">
        <f>IF($C$6="②COB白地",$C$8*100*試算条件!$C$10*(1-(試算条件!C22+試算条件!C23))*(1-試算条件!C$33)*試算条件!C$34*試算条件!C19*試算条件!C21,$C$8*100*試算条件!$C$10*(1-試算条件!C30)*(1-(試算条件!C22+試算条件!C23))*試算条件!C19*試算条件!C21)</f>
        <v/>
      </c>
      <c r="D23" s="23">
        <f>IF($C$6="②COB白地",$C$8*100*試算条件!$C$10*(1-(試算条件!D22+試算条件!D23))*(1-試算条件!D$33)*試算条件!D$34*試算条件!D19*試算条件!D21,$C$8*100*試算条件!$C$10*(1-試算条件!D30)*(1-(試算条件!D22+試算条件!D23))*試算条件!D19*試算条件!D21)</f>
        <v/>
      </c>
      <c r="E23" s="23">
        <f>IF($C$6="②COB白地",$C$8*100*試算条件!$C$10*(1-(試算条件!E22+試算条件!E23))*(1-試算条件!E$33)*試算条件!E$34*試算条件!E19*試算条件!E21,$C$8*100*試算条件!$C$10*(1-試算条件!E30)*(1-(試算条件!E22+試算条件!E23))*試算条件!E19*試算条件!E21)</f>
        <v/>
      </c>
      <c r="F23" s="22">
        <f>SUM(C23:E23)</f>
        <v/>
      </c>
    </row>
    <row r="24">
      <c r="B24" s="5" t="inlineStr">
        <is>
          <t>業務移管コスト（百万円）※他社保守Y1のみ</t>
        </is>
      </c>
      <c r="C24" s="23" t="n">
        <v>0</v>
      </c>
      <c r="D24" s="23" t="n">
        <v>0</v>
      </c>
      <c r="E24" s="23" t="n">
        <v>0</v>
      </c>
      <c r="F24" s="22">
        <f>SUM(C24:E24)</f>
        <v/>
      </c>
    </row>
    <row r="25">
      <c r="B25" s="5" t="inlineStr">
        <is>
          <t>売上加算分（顧客請求時のみ）</t>
        </is>
      </c>
      <c r="C25" s="22" t="n">
        <v>0</v>
      </c>
      <c r="D25" s="22" t="n">
        <v>0</v>
      </c>
      <c r="E25" s="22" t="n">
        <v>0</v>
      </c>
      <c r="F25" s="22">
        <f>SUM(C25:E25)</f>
        <v/>
      </c>
    </row>
    <row r="26">
      <c r="B26" s="5" t="inlineStr">
        <is>
          <t>売上（調整後・百万円）</t>
        </is>
      </c>
      <c r="C26" s="23">
        <f>C21+C25</f>
        <v/>
      </c>
      <c r="D26" s="23">
        <f>D21+D25</f>
        <v/>
      </c>
      <c r="E26" s="23">
        <f>E21+E25</f>
        <v/>
      </c>
      <c r="F26" s="22">
        <f>SUM(C26:E26)</f>
        <v/>
      </c>
    </row>
    <row r="27">
      <c r="B27" s="5" t="inlineStr">
        <is>
          <t>原価合計（百万円）</t>
        </is>
      </c>
      <c r="C27" s="23">
        <f>C22+C23</f>
        <v/>
      </c>
      <c r="D27" s="23">
        <f>D22+D23</f>
        <v/>
      </c>
      <c r="E27" s="23">
        <f>E22+E23</f>
        <v/>
      </c>
      <c r="F27" s="22">
        <f>SUM(C27:E27)</f>
        <v/>
      </c>
    </row>
    <row r="28">
      <c r="B28" s="12" t="inlineStr">
        <is>
          <t>粗利（百万円）</t>
        </is>
      </c>
      <c r="C28" s="24">
        <f>C26-C27</f>
        <v/>
      </c>
      <c r="D28" s="24">
        <f>D26-D27</f>
        <v/>
      </c>
      <c r="E28" s="24">
        <f>E26-E27</f>
        <v/>
      </c>
      <c r="F28" s="25">
        <f>SUM(C28:E28)</f>
        <v/>
      </c>
    </row>
    <row r="29">
      <c r="B29" s="5" t="inlineStr">
        <is>
          <t>粗利率</t>
        </is>
      </c>
      <c r="C29" s="26">
        <f>IFERROR(C28/C26,0)</f>
        <v/>
      </c>
      <c r="D29" s="26">
        <f>IFERROR(D28/D26,0)</f>
        <v/>
      </c>
      <c r="E29" s="26">
        <f>IFERROR(E28/E26,0)</f>
        <v/>
      </c>
      <c r="F29" s="27">
        <f>IFERROR(F28/F26,0)</f>
        <v/>
      </c>
    </row>
    <row r="30" ht="26" customHeight="1" s="19"/>
    <row r="31">
      <c r="B31" s="1" t="inlineStr">
        <is>
          <t>■ D. 当社開発 損益シミュレーション（百万円）</t>
        </is>
      </c>
    </row>
    <row r="32">
      <c r="B32" s="2" t="inlineStr">
        <is>
          <t>区分</t>
        </is>
      </c>
      <c r="C32" s="2" t="inlineStr">
        <is>
          <t>1年目</t>
        </is>
      </c>
      <c r="D32" s="2" t="inlineStr">
        <is>
          <t>2年目</t>
        </is>
      </c>
      <c r="E32" s="2" t="inlineStr">
        <is>
          <t>3年目</t>
        </is>
      </c>
      <c r="F32" s="2" t="inlineStr">
        <is>
          <t>3年累計</t>
        </is>
      </c>
    </row>
    <row r="33">
      <c r="B33" s="5" t="inlineStr">
        <is>
          <t>売上（百万円）</t>
        </is>
      </c>
      <c r="C33" s="23">
        <f>$C$9*100*試算条件!$C$10*(1-試算条件!C15)</f>
        <v/>
      </c>
      <c r="D33" s="23">
        <f>$C$9*100*試算条件!$C$10*(1-試算条件!D15)</f>
        <v/>
      </c>
      <c r="E33" s="23">
        <f>$C$9*100*試算条件!$C$10*(1-試算条件!E15)</f>
        <v/>
      </c>
      <c r="F33" s="22">
        <f>SUM(C33:E33)</f>
        <v/>
      </c>
    </row>
    <row r="34">
      <c r="B34" s="5" t="inlineStr">
        <is>
          <t>原価_国内（百万円）</t>
        </is>
      </c>
      <c r="C34" s="23">
        <f>IF($C$6="②COB白地",$C$9*100*試算条件!$C$10*(1-(試算条件!C24+試算条件!C25))*(試算条件!C$33*試算条件!C$35+(1-試算条件!C$33)*試算条件!C$34*(1-試算条件!C19)),$C$9*100*試算条件!$C$10*(1-試算条件!C31)*(1-(試算条件!C24+試算条件!C25))*(1-試算条件!C19))</f>
        <v/>
      </c>
      <c r="D34" s="23">
        <f>IF($C$6="②COB白地",$C$9*100*試算条件!$C$10*(1-(試算条件!D24+試算条件!D25))*(試算条件!D$33*試算条件!D$35+(1-試算条件!D$33)*試算条件!D$34*(1-試算条件!D19)),$C$9*100*試算条件!$C$10*(1-試算条件!D31)*(1-(試算条件!D24+試算条件!D25))*(1-試算条件!D19))</f>
        <v/>
      </c>
      <c r="E34" s="23">
        <f>IF($C$6="②COB白地",$C$9*100*試算条件!$C$10*(1-(試算条件!E24+試算条件!E25))*(試算条件!E$33*試算条件!E$35+(1-試算条件!E$33)*試算条件!E$34*(1-試算条件!E19)),$C$9*100*試算条件!$C$10*(1-試算条件!E31)*(1-(試算条件!E24+試算条件!E25))*(1-試算条件!E19))</f>
        <v/>
      </c>
      <c r="F34" s="22">
        <f>SUM(C34:E34)</f>
        <v/>
      </c>
    </row>
    <row r="35">
      <c r="B35" s="5" t="inlineStr">
        <is>
          <t>原価_ODC（百万円）</t>
        </is>
      </c>
      <c r="C35" s="23">
        <f>IF($C$6="②COB白地",$C$9*100*試算条件!$C$10*(1-(試算条件!C24+試算条件!C25))*(1-試算条件!C$33)*試算条件!C$34*試算条件!C19*試算条件!C21,$C$9*100*試算条件!$C$10*(1-試算条件!C31)*(1-(試算条件!C24+試算条件!C25))*試算条件!C19*試算条件!C21)</f>
        <v/>
      </c>
      <c r="D35" s="23">
        <f>IF($C$6="②COB白地",$C$9*100*試算条件!$C$10*(1-(試算条件!D24+試算条件!D25))*(1-試算条件!D$33)*試算条件!D$34*試算条件!D19*試算条件!D21,$C$9*100*試算条件!$C$10*(1-試算条件!D31)*(1-(試算条件!D24+試算条件!D25))*試算条件!D19*試算条件!D21)</f>
        <v/>
      </c>
      <c r="E35" s="23">
        <f>IF($C$6="②COB白地",$C$9*100*試算条件!$C$10*(1-(試算条件!E24+試算条件!E25))*(1-試算条件!E$33)*試算条件!E$34*試算条件!E19*試算条件!E21,$C$9*100*試算条件!$C$10*(1-試算条件!E31)*(1-(試算条件!E24+試算条件!E25))*試算条件!E19*試算条件!E21)</f>
        <v/>
      </c>
      <c r="F35" s="22">
        <f>SUM(C35:E35)</f>
        <v/>
      </c>
    </row>
    <row r="36">
      <c r="B36" s="5" t="inlineStr">
        <is>
          <t>業務移管コスト（百万円）※他社保守Y1のみ</t>
        </is>
      </c>
      <c r="C36" s="23" t="n">
        <v>0</v>
      </c>
      <c r="D36" s="23" t="n">
        <v>0</v>
      </c>
      <c r="E36" s="23" t="n">
        <v>0</v>
      </c>
      <c r="F36" s="22">
        <f>SUM(C36:E36)</f>
        <v/>
      </c>
    </row>
    <row r="37">
      <c r="B37" s="5" t="inlineStr">
        <is>
          <t>売上加算分（顧客請求時のみ）</t>
        </is>
      </c>
      <c r="C37" s="22" t="n">
        <v>0</v>
      </c>
      <c r="D37" s="22" t="n">
        <v>0</v>
      </c>
      <c r="E37" s="22" t="n">
        <v>0</v>
      </c>
      <c r="F37" s="22">
        <f>SUM(C37:E37)</f>
        <v/>
      </c>
    </row>
    <row r="38">
      <c r="B38" s="5" t="inlineStr">
        <is>
          <t>売上（調整後・百万円）</t>
        </is>
      </c>
      <c r="C38" s="23">
        <f>C33+C37</f>
        <v/>
      </c>
      <c r="D38" s="23">
        <f>D33+D37</f>
        <v/>
      </c>
      <c r="E38" s="23">
        <f>E33+E37</f>
        <v/>
      </c>
      <c r="F38" s="22">
        <f>SUM(C38:E38)</f>
        <v/>
      </c>
    </row>
    <row r="39">
      <c r="B39" s="5" t="inlineStr">
        <is>
          <t>原価合計（百万円）</t>
        </is>
      </c>
      <c r="C39" s="23">
        <f>C34+C35</f>
        <v/>
      </c>
      <c r="D39" s="23">
        <f>D34+D35</f>
        <v/>
      </c>
      <c r="E39" s="23">
        <f>E34+E35</f>
        <v/>
      </c>
      <c r="F39" s="22">
        <f>SUM(C39:E39)</f>
        <v/>
      </c>
    </row>
    <row r="40">
      <c r="B40" s="12" t="inlineStr">
        <is>
          <t>粗利（百万円）</t>
        </is>
      </c>
      <c r="C40" s="24">
        <f>C38-C39</f>
        <v/>
      </c>
      <c r="D40" s="24">
        <f>D38-D39</f>
        <v/>
      </c>
      <c r="E40" s="24">
        <f>E38-E39</f>
        <v/>
      </c>
      <c r="F40" s="25">
        <f>SUM(C40:E40)</f>
        <v/>
      </c>
    </row>
    <row r="41">
      <c r="B41" s="5" t="inlineStr">
        <is>
          <t>粗利率</t>
        </is>
      </c>
      <c r="C41" s="26">
        <f>IFERROR(C40/C38,0)</f>
        <v/>
      </c>
      <c r="D41" s="26">
        <f>IFERROR(D40/D38,0)</f>
        <v/>
      </c>
      <c r="E41" s="26">
        <f>IFERROR(E40/E38,0)</f>
        <v/>
      </c>
      <c r="F41" s="27">
        <f>IFERROR(F40/F38,0)</f>
        <v/>
      </c>
    </row>
    <row r="42" ht="26" customHeight="1" s="19"/>
    <row r="43">
      <c r="B43" s="1" t="inlineStr">
        <is>
          <t>■ E. 他社保守 損益シミュレーション（百万円）※業務移管コスト適用</t>
        </is>
      </c>
    </row>
    <row r="44">
      <c r="B44" s="2" t="inlineStr">
        <is>
          <t>区分</t>
        </is>
      </c>
      <c r="C44" s="2" t="inlineStr">
        <is>
          <t>1年目</t>
        </is>
      </c>
      <c r="D44" s="2" t="inlineStr">
        <is>
          <t>2年目</t>
        </is>
      </c>
      <c r="E44" s="2" t="inlineStr">
        <is>
          <t>3年目</t>
        </is>
      </c>
      <c r="F44" s="2" t="inlineStr">
        <is>
          <t>3年累計</t>
        </is>
      </c>
    </row>
    <row r="45">
      <c r="B45" s="5" t="inlineStr">
        <is>
          <t>売上（百万円）</t>
        </is>
      </c>
      <c r="C45" s="23">
        <f>$C$8*100*(1-試算条件!$C$10)*試算条件!C17*(1-試算条件!C16)</f>
        <v/>
      </c>
      <c r="D45" s="23">
        <f>$C$8*100*(1-試算条件!$C$10)*試算条件!D17*(1-試算条件!D16)</f>
        <v/>
      </c>
      <c r="E45" s="23">
        <f>$C$8*100*(1-試算条件!$C$10)*試算条件!E17*(1-試算条件!E16)</f>
        <v/>
      </c>
      <c r="F45" s="22">
        <f>SUM(C45:E45)</f>
        <v/>
      </c>
    </row>
    <row r="46">
      <c r="B46" s="5" t="inlineStr">
        <is>
          <t>原価_国内（百万円）</t>
        </is>
      </c>
      <c r="C46" s="23" t="inlineStr">
        <is>
          <t>IF($C$6="②COB白地",$C$8*100*(1-試算条件!$C$10)*試算条件!C17*(1-(試算条件!C26+試算条件!C27))*(試算条件!C$33*試算条件!C$35+(1-試算条件!C$33)*試算条件!C$34)*(1-試算条件!C20),$C$8*100*(1-試算条件!$C$10)*試算条件!C17*(1-試算条件!C30)*(1-(試算条件!C26+試算条件!C27))*(1-試算条件!C20))</t>
        </is>
      </c>
      <c r="D46" s="23" t="inlineStr">
        <is>
          <t>IF($C$6="②COB白地",$C$8*100*(1-試算条件!$C$10)*試算条件!D17*(1-(試算条件!D26+試算条件!D27))*(試算条件!C$33*試算条件!C$35+(1-試算条件!C$33)*試算条件!C$34)*(1-試算条件!D20),$C$8*100*(1-試算条件!$C$10)*試算条件!D17*(1-試算条件!C30)*(1-(試算条件!D26+試算条件!D27))*(1-試算条件!D20))</t>
        </is>
      </c>
      <c r="E46" s="23" t="inlineStr">
        <is>
          <t>IF($C$6="②COB白地",$C$8*100*(1-試算条件!$C$10)*試算条件!E17*(1-(試算条件!E26+試算条件!E27))*(試算条件!C$33*試算条件!C$35+(1-試算条件!C$33)*試算条件!C$34)*(1-試算条件!E20),$C$8*100*(1-試算条件!$C$10)*試算条件!E17*(1-試算条件!C30)*(1-(試算条件!E26+試算条件!E27))*(1-試算条件!E20))</t>
        </is>
      </c>
      <c r="F46" s="22">
        <f>SUM(C46:E46)</f>
        <v/>
      </c>
    </row>
    <row r="47">
      <c r="B47" s="5" t="inlineStr">
        <is>
          <t>原価_ODC（百万円）</t>
        </is>
      </c>
      <c r="C47" s="23" t="inlineStr">
        <is>
          <t>IF($C$6="②COB白地",$C$8*100*(1-試算条件!$C$10)*試算条件!C17*(1-(試算条件!C26+試算条件!C27))*(試算条件!C$33*試算条件!C$35+(1-試算条件!C$33)*試算条件!C$34)*試算条件!C20*試算条件!C21,$C$8*100*(1-試算条件!$C$10)*試算条件!C17*(1-試算条件!C30)*(1-(試算条件!C26+試算条件!C27))*試算条件!C20*試算条件!C21)</t>
        </is>
      </c>
      <c r="D47" s="23" t="inlineStr">
        <is>
          <t>IF($C$6="②COB白地",$C$8*100*(1-試算条件!$C$10)*試算条件!D17*(1-(試算条件!D26+試算条件!D27))*(試算条件!C$33*試算条件!C$35+(1-試算条件!C$33)*試算条件!C$34)*試算条件!D20*試算条件!D21,$C$8*100*(1-試算条件!$C$10)*試算条件!D17*(1-試算条件!C30)*(1-(試算条件!D26+試算条件!D27))*試算条件!D20*試算条件!D21)</t>
        </is>
      </c>
      <c r="E47" s="23" t="inlineStr">
        <is>
          <t>IF($C$6="②COB白地",$C$8*100*(1-試算条件!$C$10)*試算条件!E17*(1-(試算条件!E26+試算条件!E27))*(試算条件!C$33*試算条件!C$35+(1-試算条件!C$33)*試算条件!C$34)*試算条件!E20*試算条件!E21,$C$8*100*(1-試算条件!$C$10)*試算条件!E17*(1-試算条件!C30)*(1-(試算条件!E26+試算条件!E27))*試算条件!E20*試算条件!E21)</t>
        </is>
      </c>
      <c r="F47" s="22">
        <f>SUM(C47:E47)</f>
        <v/>
      </c>
    </row>
    <row r="48">
      <c r="B48" s="5" t="inlineStr">
        <is>
          <t>業務移管コスト（百万円）※他社保守Y1のみ</t>
        </is>
      </c>
      <c r="C48" s="23">
        <f>$C$8*100*(1-試算条件!$C$10)*試算条件!C18</f>
        <v/>
      </c>
      <c r="D48" s="23">
        <f>$C$8*100*(1-試算条件!$C$10)*試算条件!D18</f>
        <v/>
      </c>
      <c r="E48" s="23">
        <f>$C$8*100*(1-試算条件!$C$10)*試算条件!E18</f>
        <v/>
      </c>
      <c r="F48" s="22">
        <f>SUM(C48:E48)</f>
        <v/>
      </c>
    </row>
    <row r="49">
      <c r="B49" s="5" t="inlineStr">
        <is>
          <t>売上加算分（顧客請求時のみ）</t>
        </is>
      </c>
      <c r="C49" s="22">
        <f>IF(試算条件!$C$11="売上計上（顧客請求）",C48,0)</f>
        <v/>
      </c>
      <c r="D49" s="22">
        <f>IF(試算条件!$C$11="売上計上（顧客請求）",D48,0)</f>
        <v/>
      </c>
      <c r="E49" s="22">
        <f>IF(試算条件!$C$11="売上計上（顧客請求）",E48,0)</f>
        <v/>
      </c>
      <c r="F49" s="22">
        <f>SUM(C49:E49)</f>
        <v/>
      </c>
    </row>
    <row r="50">
      <c r="B50" s="5" t="inlineStr">
        <is>
          <t>売上（調整後・百万円）</t>
        </is>
      </c>
      <c r="C50" s="23">
        <f>C45+C49</f>
        <v/>
      </c>
      <c r="D50" s="23">
        <f>D45+D49</f>
        <v/>
      </c>
      <c r="E50" s="23">
        <f>E45+E49</f>
        <v/>
      </c>
      <c r="F50" s="22">
        <f>SUM(C50:E50)</f>
        <v/>
      </c>
    </row>
    <row r="51">
      <c r="B51" s="5" t="inlineStr">
        <is>
          <t>原価合計（百万円）</t>
        </is>
      </c>
      <c r="C51" s="23">
        <f>IF($C$6="②COB白地",C46+C47+C48*試算条件!C$36,C46+C47+C48*0.7)</f>
        <v/>
      </c>
      <c r="D51" s="23">
        <f>IF($C$6="②COB白地",D46+D47+D48*試算条件!D$36,D46+D47+D48*0.7)</f>
        <v/>
      </c>
      <c r="E51" s="23">
        <f>IF($C$6="②COB白地",E46+E47+E48*試算条件!E$36,E46+E47+E48*0.7)</f>
        <v/>
      </c>
      <c r="F51" s="22">
        <f>SUM(C51:E51)</f>
        <v/>
      </c>
    </row>
    <row r="52">
      <c r="B52" s="12" t="inlineStr">
        <is>
          <t>粗利（百万円）</t>
        </is>
      </c>
      <c r="C52" s="24">
        <f>C50-C51</f>
        <v/>
      </c>
      <c r="D52" s="24">
        <f>D50-D51</f>
        <v/>
      </c>
      <c r="E52" s="24">
        <f>E50-E51</f>
        <v/>
      </c>
      <c r="F52" s="25">
        <f>SUM(C52:E52)</f>
        <v/>
      </c>
    </row>
    <row r="53">
      <c r="B53" s="5" t="inlineStr">
        <is>
          <t>粗利率</t>
        </is>
      </c>
      <c r="C53" s="26">
        <f>IFERROR(C52/C50,0)</f>
        <v/>
      </c>
      <c r="D53" s="26">
        <f>IFERROR(D52/D50,0)</f>
        <v/>
      </c>
      <c r="E53" s="26">
        <f>IFERROR(E52/E50,0)</f>
        <v/>
      </c>
      <c r="F53" s="27">
        <f>IFERROR(F52/F50,0)</f>
        <v/>
      </c>
    </row>
    <row r="54" ht="26" customHeight="1" s="19"/>
    <row r="55">
      <c r="B55" s="1" t="inlineStr">
        <is>
          <t>■ F. 他社開発 損益シミュレーション（百万円）</t>
        </is>
      </c>
    </row>
    <row r="56">
      <c r="B56" s="2" t="inlineStr">
        <is>
          <t>区分</t>
        </is>
      </c>
      <c r="C56" s="2" t="inlineStr">
        <is>
          <t>1年目</t>
        </is>
      </c>
      <c r="D56" s="2" t="inlineStr">
        <is>
          <t>2年目</t>
        </is>
      </c>
      <c r="E56" s="2" t="inlineStr">
        <is>
          <t>3年目</t>
        </is>
      </c>
      <c r="F56" s="2" t="inlineStr">
        <is>
          <t>3年累計</t>
        </is>
      </c>
    </row>
    <row r="57">
      <c r="B57" s="5" t="inlineStr">
        <is>
          <t>売上（百万円）</t>
        </is>
      </c>
      <c r="C57" s="23">
        <f>$C$9*100*(1-試算条件!$C$10)*試算条件!C17*(1-試算条件!C16)</f>
        <v/>
      </c>
      <c r="D57" s="23">
        <f>$C$9*100*(1-試算条件!$C$10)*試算条件!D17*(1-試算条件!D16)</f>
        <v/>
      </c>
      <c r="E57" s="23">
        <f>$C$9*100*(1-試算条件!$C$10)*試算条件!E17*(1-試算条件!E16)</f>
        <v/>
      </c>
      <c r="F57" s="22">
        <f>SUM(C57:E57)</f>
        <v/>
      </c>
    </row>
    <row r="58">
      <c r="B58" s="5" t="inlineStr">
        <is>
          <t>原価_国内（百万円）</t>
        </is>
      </c>
      <c r="C58" s="23" t="inlineStr">
        <is>
          <t>IF($C$6="②COB白地",$C$9*100*(1-試算条件!$C$10)*試算条件!C17*(1-(試算条件!C28+試算条件!C29))*(試算条件!C$33*試算条件!C$35+(1-試算条件!C$33)*試算条件!C$34)*(1-試算条件!C20),$C$9*100*(1-試算条件!$C$10)*試算条件!C17*(1-試算条件!C31)*(1-(試算条件!C28+試算条件!C29))*(1-試算条件!C20))</t>
        </is>
      </c>
      <c r="D58" s="23" t="inlineStr">
        <is>
          <t>IF($C$6="②COB白地",$C$9*100*(1-試算条件!$C$10)*試算条件!D17*(1-(試算条件!D28+試算条件!D29))*(試算条件!C$33*試算条件!C$35+(1-試算条件!C$33)*試算条件!C$34)*(1-試算条件!D20),$C$9*100*(1-試算条件!$C$10)*試算条件!D17*(1-試算条件!C31)*(1-(試算条件!D28+試算条件!D29))*(1-試算条件!D20))</t>
        </is>
      </c>
      <c r="E58" s="23" t="inlineStr">
        <is>
          <t>IF($C$6="②COB白地",$C$9*100*(1-試算条件!$C$10)*試算条件!E17*(1-(試算条件!E28+試算条件!E29))*(試算条件!C$33*試算条件!C$35+(1-試算条件!C$33)*試算条件!C$34)*(1-試算条件!E20),$C$9*100*(1-試算条件!$C$10)*試算条件!E17*(1-試算条件!C31)*(1-(試算条件!E28+試算条件!E29))*(1-試算条件!E20))</t>
        </is>
      </c>
      <c r="F58" s="22">
        <f>SUM(C58:E58)</f>
        <v/>
      </c>
    </row>
    <row r="59">
      <c r="B59" s="5" t="inlineStr">
        <is>
          <t>原価_ODC（百万円）</t>
        </is>
      </c>
      <c r="C59" s="23" t="inlineStr">
        <is>
          <t>IF($C$6="②COB白地",$C$9*100*(1-試算条件!$C$10)*試算条件!C17*(1-(試算条件!C28+試算条件!C29))*(試算条件!C$33*試算条件!C$35+(1-試算条件!C$33)*試算条件!C$34)*試算条件!C20*試算条件!C21,$C$9*100*(1-試算条件!$C$10)*試算条件!C17*(1-試算条件!C31)*(1-(試算条件!C28+試算条件!C29))*試算条件!C20*試算条件!C21)</t>
        </is>
      </c>
      <c r="D59" s="23" t="inlineStr">
        <is>
          <t>IF($C$6="②COB白地",$C$9*100*(1-試算条件!$C$10)*試算条件!D17*(1-(試算条件!D28+試算条件!D29))*(試算条件!C$33*試算条件!C$35+(1-試算条件!C$33)*試算条件!C$34)*試算条件!D20*試算条件!D21,$C$9*100*(1-試算条件!$C$10)*試算条件!D17*(1-試算条件!C31)*(1-(試算条件!D28+試算条件!D29))*試算条件!D20*試算条件!D21)</t>
        </is>
      </c>
      <c r="E59" s="23" t="inlineStr">
        <is>
          <t>IF($C$6="②COB白地",$C$9*100*(1-試算条件!$C$10)*試算条件!E17*(1-(試算条件!E28+試算条件!E29))*(試算条件!C$33*試算条件!C$35+(1-試算条件!C$33)*試算条件!C$34)*試算条件!E20*試算条件!E21,$C$9*100*(1-試算条件!$C$10)*試算条件!E17*(1-試算条件!C31)*(1-(試算条件!E28+試算条件!E29))*試算条件!E20*試算条件!E21)</t>
        </is>
      </c>
      <c r="F59" s="22">
        <f>SUM(C59:E59)</f>
        <v/>
      </c>
    </row>
    <row r="60">
      <c r="B60" s="5" t="inlineStr">
        <is>
          <t>業務移管コスト（百万円）※他社保守Y1のみ</t>
        </is>
      </c>
      <c r="C60" s="23" t="n">
        <v>0</v>
      </c>
      <c r="D60" s="23" t="n">
        <v>0</v>
      </c>
      <c r="E60" s="23" t="n">
        <v>0</v>
      </c>
      <c r="F60" s="22">
        <f>SUM(C60:E60)</f>
        <v/>
      </c>
    </row>
    <row r="61">
      <c r="B61" s="5" t="inlineStr">
        <is>
          <t>売上加算分（顧客請求時のみ）</t>
        </is>
      </c>
      <c r="C61" s="22" t="n">
        <v>0</v>
      </c>
      <c r="D61" s="22" t="n">
        <v>0</v>
      </c>
      <c r="E61" s="22" t="n">
        <v>0</v>
      </c>
      <c r="F61" s="22">
        <f>SUM(C61:E61)</f>
        <v/>
      </c>
    </row>
    <row r="62">
      <c r="B62" s="5" t="inlineStr">
        <is>
          <t>売上（調整後・百万円）</t>
        </is>
      </c>
      <c r="C62" s="23">
        <f>C57+C61</f>
        <v/>
      </c>
      <c r="D62" s="23">
        <f>D57+D61</f>
        <v/>
      </c>
      <c r="E62" s="23">
        <f>E57+E61</f>
        <v/>
      </c>
      <c r="F62" s="22">
        <f>SUM(C62:E62)</f>
        <v/>
      </c>
    </row>
    <row r="63">
      <c r="B63" s="5" t="inlineStr">
        <is>
          <t>原価合計（百万円）</t>
        </is>
      </c>
      <c r="C63" s="23">
        <f>C58+C59</f>
        <v/>
      </c>
      <c r="D63" s="23">
        <f>D58+D59</f>
        <v/>
      </c>
      <c r="E63" s="23">
        <f>E58+E59</f>
        <v/>
      </c>
      <c r="F63" s="22">
        <f>SUM(C63:E63)</f>
        <v/>
      </c>
    </row>
    <row r="64">
      <c r="B64" s="12" t="inlineStr">
        <is>
          <t>粗利（百万円）</t>
        </is>
      </c>
      <c r="C64" s="24">
        <f>C62-C63</f>
        <v/>
      </c>
      <c r="D64" s="24">
        <f>D62-D63</f>
        <v/>
      </c>
      <c r="E64" s="24">
        <f>E62-E63</f>
        <v/>
      </c>
      <c r="F64" s="25">
        <f>SUM(C64:E64)</f>
        <v/>
      </c>
    </row>
    <row r="65">
      <c r="B65" s="5" t="inlineStr">
        <is>
          <t>粗利率</t>
        </is>
      </c>
      <c r="C65" s="26">
        <f>IFERROR(C64/C62,0)</f>
        <v/>
      </c>
      <c r="D65" s="26">
        <f>IFERROR(D64/D62,0)</f>
        <v/>
      </c>
      <c r="E65" s="26">
        <f>IFERROR(E64/E62,0)</f>
        <v/>
      </c>
      <c r="F65" s="27">
        <f>IFERROR(F64/F62,0)</f>
        <v/>
      </c>
    </row>
    <row r="67">
      <c r="B67" s="1" t="inlineStr">
        <is>
          <t>■ G. 4区分サマリ（百万円）</t>
        </is>
      </c>
    </row>
    <row r="68">
      <c r="B68" s="2" t="inlineStr">
        <is>
          <t>区分</t>
        </is>
      </c>
      <c r="C68" s="2" t="inlineStr">
        <is>
          <t>1年目 売上</t>
        </is>
      </c>
      <c r="D68" s="2" t="inlineStr">
        <is>
          <t>2年目 売上</t>
        </is>
      </c>
      <c r="E68" s="2" t="inlineStr">
        <is>
          <t>3年目 売上</t>
        </is>
      </c>
      <c r="F68" s="2" t="inlineStr">
        <is>
          <t>1年目 粗利</t>
        </is>
      </c>
      <c r="G68" s="2" t="inlineStr">
        <is>
          <t>2年目 粗利</t>
        </is>
      </c>
      <c r="H68" s="2" t="inlineStr">
        <is>
          <t>3年目 粗利</t>
        </is>
      </c>
    </row>
    <row r="69">
      <c r="B69" s="5" t="inlineStr">
        <is>
          <t>当社保守</t>
        </is>
      </c>
      <c r="C69" s="23">
        <f>C26</f>
        <v/>
      </c>
      <c r="D69" s="23">
        <f>D26</f>
        <v/>
      </c>
      <c r="E69" s="23">
        <f>E26</f>
        <v/>
      </c>
      <c r="F69" s="23">
        <f>C28</f>
        <v/>
      </c>
      <c r="G69" s="23">
        <f>D28</f>
        <v/>
      </c>
      <c r="H69" s="23">
        <f>E28</f>
        <v/>
      </c>
    </row>
    <row r="70">
      <c r="B70" s="5" t="inlineStr">
        <is>
          <t>当社開発</t>
        </is>
      </c>
      <c r="C70" s="23">
        <f>C38</f>
        <v/>
      </c>
      <c r="D70" s="23">
        <f>D38</f>
        <v/>
      </c>
      <c r="E70" s="23">
        <f>E38</f>
        <v/>
      </c>
      <c r="F70" s="23">
        <f>C40</f>
        <v/>
      </c>
      <c r="G70" s="23">
        <f>D40</f>
        <v/>
      </c>
      <c r="H70" s="23">
        <f>E40</f>
        <v/>
      </c>
    </row>
    <row r="71">
      <c r="B71" s="5" t="inlineStr">
        <is>
          <t>他社保守</t>
        </is>
      </c>
      <c r="C71" s="23">
        <f>C50</f>
        <v/>
      </c>
      <c r="D71" s="23">
        <f>D50</f>
        <v/>
      </c>
      <c r="E71" s="23">
        <f>E50</f>
        <v/>
      </c>
      <c r="F71" s="23">
        <f>C52</f>
        <v/>
      </c>
      <c r="G71" s="23">
        <f>D52</f>
        <v/>
      </c>
      <c r="H71" s="23">
        <f>E52</f>
        <v/>
      </c>
    </row>
    <row r="72">
      <c r="B72" s="5" t="inlineStr">
        <is>
          <t>他社開発</t>
        </is>
      </c>
      <c r="C72" s="23">
        <f>C62</f>
        <v/>
      </c>
      <c r="D72" s="23">
        <f>D62</f>
        <v/>
      </c>
      <c r="E72" s="23">
        <f>E62</f>
        <v/>
      </c>
      <c r="F72" s="23">
        <f>C64</f>
        <v/>
      </c>
      <c r="G72" s="23">
        <f>D64</f>
        <v/>
      </c>
      <c r="H72" s="23">
        <f>E64</f>
        <v/>
      </c>
    </row>
    <row r="73">
      <c r="B73" s="17" t="inlineStr">
        <is>
          <t>合計</t>
        </is>
      </c>
      <c r="C73" s="25">
        <f>SUM(C69:C72)</f>
        <v/>
      </c>
      <c r="D73" s="25">
        <f>SUM(D69:D72)</f>
        <v/>
      </c>
      <c r="E73" s="25">
        <f>SUM(E69:E72)</f>
        <v/>
      </c>
      <c r="F73" s="25">
        <f>SUM(F69:F72)</f>
        <v/>
      </c>
      <c r="G73" s="25">
        <f>SUM(G69:G72)</f>
        <v/>
      </c>
      <c r="H73" s="25">
        <f>SUM(H69:H72)</f>
        <v/>
      </c>
    </row>
    <row r="75" ht="26" customHeight="1" s="19"/>
    <row r="76" ht="23" customHeight="1" s="19">
      <c r="B76" s="1" t="inlineStr">
        <is>
          <t>■ H. 業務移管コスト計上方式 パターン比較（Year1・他社保守のみ・百万円）</t>
        </is>
      </c>
    </row>
    <row r="77">
      <c r="B77" s="2" t="inlineStr">
        <is>
          <t>項目</t>
        </is>
      </c>
      <c r="C77" s="2" t="inlineStr">
        <is>
          <t>Pattern A（原価計上）</t>
        </is>
      </c>
      <c r="D77" s="2" t="inlineStr">
        <is>
          <t>Pattern B（売上計上）</t>
        </is>
      </c>
      <c r="E77" s="2" t="inlineStr">
        <is>
          <t>差分（B−A）</t>
        </is>
      </c>
    </row>
    <row r="78">
      <c r="B78" s="5" t="inlineStr">
        <is>
          <t>業務移管コスト（他社保守Y1）</t>
        </is>
      </c>
      <c r="C78" s="23">
        <f>C48</f>
        <v/>
      </c>
      <c r="D78" s="23">
        <f>C48</f>
        <v/>
      </c>
      <c r="E78" s="22">
        <f>D78-C78</f>
        <v/>
      </c>
    </row>
    <row r="79">
      <c r="B79" s="5" t="inlineStr">
        <is>
          <t>Y1売上（他社保守のみ）</t>
        </is>
      </c>
      <c r="C79" s="23">
        <f>C45</f>
        <v/>
      </c>
      <c r="D79" s="23">
        <f>C45+C48</f>
        <v/>
      </c>
      <c r="E79" s="22">
        <f>D79-C79</f>
        <v/>
      </c>
    </row>
    <row r="80">
      <c r="B80" s="5" t="inlineStr">
        <is>
          <t>Y1原価（他社保守のみ）</t>
        </is>
      </c>
      <c r="C80" s="23">
        <f>C46+C47+C48</f>
        <v/>
      </c>
      <c r="D80" s="23">
        <f>C46+C47</f>
        <v/>
      </c>
      <c r="E80" s="22">
        <f>D80-C80</f>
        <v/>
      </c>
    </row>
    <row r="81">
      <c r="B81" s="12" t="inlineStr">
        <is>
          <t>Y1粗利（他社保守のみ）</t>
        </is>
      </c>
      <c r="C81" s="24">
        <f>C79-C80</f>
        <v/>
      </c>
      <c r="D81" s="24">
        <f>D79-D80</f>
        <v/>
      </c>
      <c r="E81" s="25">
        <f>D81-C81</f>
        <v/>
      </c>
    </row>
    <row r="82">
      <c r="B82" s="5" t="inlineStr">
        <is>
          <t>Y1粗利率（他社保守のみ）</t>
        </is>
      </c>
      <c r="C82" s="26">
        <f>IFERROR(C81/C79,0)</f>
        <v/>
      </c>
      <c r="D82" s="26">
        <f>IFERROR(D81/D79,0)</f>
        <v/>
      </c>
      <c r="E82" s="27">
        <f>D82-C82</f>
        <v/>
      </c>
    </row>
  </sheetData>
  <mergeCells count="1">
    <mergeCell ref="B1:F1"/>
  </mergeCells>
  <dataValidations count="1">
    <dataValidation sqref="C6" showDropDown="0" showInputMessage="0" showErrorMessage="0" allowBlank="1" type="list">
      <formula1>"①COB既存・隣接,②COB白地,③デジタル"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新倉 到</dc:creator>
  <dcterms:created xsi:type="dcterms:W3CDTF">2026-07-07T08:46:01Z</dcterms:created>
  <dcterms:modified xsi:type="dcterms:W3CDTF">2026-07-10T00:08:44Z</dcterms:modified>
  <cp:lastModifiedBy>新倉 到</cp:lastModifiedBy>
</cp:coreProperties>
</file>