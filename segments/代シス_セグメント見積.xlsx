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0.04732243517474634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代シス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③デジタル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n">
        <v>108.05</v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4.93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3.94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>
        <f>IF($C$6="②COB白地",$C$8*100*(1-試算条件!$C$10)*試算条件!C17*(1-(試算条件!C26+試算条件!C27))*(試算条件!C$33*試算条件!C$35+(1-試算条件!C$33)*試算条件!C$34)*(1-試算条件!C20),$C$8*100*(1-試算条件!$C$10)*試算条件!C17*(1-試算条件!C30)*(1-(試算条件!C26+試算条件!C27))*(1-試算条件!C20))</f>
        <v/>
      </c>
      <c r="D46" s="23">
        <f>IF($C$6="②COB白地",$C$8*100*(1-試算条件!$C$10)*試算条件!D17*(1-(試算条件!D26+試算条件!D27))*(試算条件!D$33*試算条件!D$35+(1-試算条件!D$33)*試算条件!D$34)*(1-試算条件!D20),$C$8*100*(1-試算条件!$C$10)*試算条件!D17*(1-試算条件!D30)*(1-(試算条件!D26+試算条件!D27))*(1-試算条件!D20))</f>
        <v/>
      </c>
      <c r="E46" s="23">
        <f>IF($C$6="②COB白地",$C$8*100*(1-試算条件!$C$10)*試算条件!E17*(1-(試算条件!E26+試算条件!E27))*(試算条件!E$33*試算条件!E$35+(1-試算条件!E$33)*試算条件!E$34)*(1-試算条件!E20),$C$8*100*(1-試算条件!$C$10)*試算条件!E17*(1-試算条件!E30)*(1-(試算条件!E26+試算条件!E27))*(1-試算条件!E20))</f>
        <v/>
      </c>
      <c r="F46" s="22">
        <f>SUM(C46:E46)</f>
        <v/>
      </c>
    </row>
    <row r="47">
      <c r="B47" s="5" t="inlineStr">
        <is>
          <t>原価_ODC（百万円）</t>
        </is>
      </c>
      <c r="C47" s="23">
        <f>IF($C$6="②COB白地",$C$8*100*(1-試算条件!$C$10)*試算条件!C17*(1-(試算条件!C26+試算条件!C27))*(試算条件!C$33*試算条件!C$35+(1-試算条件!C$33)*試算条件!C$34)*試算条件!C20*試算条件!C21,$C$8*100*(1-試算条件!$C$10)*試算条件!C17*(1-試算条件!C30)*(1-(試算条件!C26+試算条件!C27))*試算条件!C20*試算条件!C21)</f>
        <v/>
      </c>
      <c r="D47" s="23">
        <f>IF($C$6="②COB白地",$C$8*100*(1-試算条件!$C$10)*試算条件!D17*(1-(試算条件!D26+試算条件!D27))*(試算条件!D$33*試算条件!D$35+(1-試算条件!D$33)*試算条件!D$34)*試算条件!D20*試算条件!D21,$C$8*100*(1-試算条件!$C$10)*試算条件!D17*(1-試算条件!D30)*(1-(試算条件!D26+試算条件!D27))*試算条件!D20*試算条件!D21)</f>
        <v/>
      </c>
      <c r="E47" s="23">
        <f>IF($C$6="②COB白地",$C$8*100*(1-試算条件!$C$10)*試算条件!E17*(1-(試算条件!E26+試算条件!E27))*(試算条件!E$33*試算条件!E$35+(1-試算条件!E$33)*試算条件!E$34)*試算条件!E20*試算条件!E21,$C$8*100*(1-試算条件!$C$10)*試算条件!E17*(1-試算条件!E30)*(1-(試算条件!E26+試算条件!E27))*試算条件!E20*試算条件!E21)</f>
        <v/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>
        <f>IF($C$6="②COB白地",$C$9*100*(1-試算条件!$C$10)*試算条件!C17*(1-(試算条件!C28+試算条件!C29))*(試算条件!C$33*試算条件!C$35+(1-試算条件!C$33)*試算条件!C$34)*(1-試算条件!C20),$C$9*100*(1-試算条件!$C$10)*試算条件!C17*(1-試算条件!C31)*(1-(試算条件!C28+試算条件!C29))*(1-試算条件!C20))</f>
        <v/>
      </c>
      <c r="D58" s="23">
        <f>IF($C$6="②COB白地",$C$9*100*(1-試算条件!$C$10)*試算条件!D17*(1-(試算条件!D28+試算条件!D29))*(試算条件!D$33*試算条件!D$35+(1-試算条件!D$33)*試算条件!D$34)*(1-試算条件!D20),$C$9*100*(1-試算条件!$C$10)*試算条件!D17*(1-試算条件!D31)*(1-(試算条件!D28+試算条件!D29))*(1-試算条件!D20))</f>
        <v/>
      </c>
      <c r="E58" s="23">
        <f>IF($C$6="②COB白地",$C$9*100*(1-試算条件!$C$10)*試算条件!E17*(1-(試算条件!E28+試算条件!E29))*(試算条件!E$33*試算条件!E$35+(1-試算条件!E$33)*試算条件!E$34)*(1-試算条件!E20),$C$9*100*(1-試算条件!$C$10)*試算条件!E17*(1-試算条件!E31)*(1-(試算条件!E28+試算条件!E29))*(1-試算条件!E20))</f>
        <v/>
      </c>
      <c r="F58" s="22">
        <f>SUM(C58:E58)</f>
        <v/>
      </c>
    </row>
    <row r="59">
      <c r="B59" s="5" t="inlineStr">
        <is>
          <t>原価_ODC（百万円）</t>
        </is>
      </c>
      <c r="C59" s="23">
        <f>IF($C$6="②COB白地",$C$9*100*(1-試算条件!$C$10)*試算条件!C17*(1-(試算条件!C28+試算条件!C29))*(試算条件!C$33*試算条件!C$35+(1-試算条件!C$33)*試算条件!C$34)*試算条件!C20*試算条件!C21,$C$9*100*(1-試算条件!$C$10)*試算条件!C17*(1-試算条件!C31)*(1-(試算条件!C28+試算条件!C29))*試算条件!C20*試算条件!C21)</f>
        <v/>
      </c>
      <c r="D59" s="23">
        <f>IF($C$6="②COB白地",$C$9*100*(1-試算条件!$C$10)*試算条件!D17*(1-(試算条件!D28+試算条件!D29))*(試算条件!D$33*試算条件!D$35+(1-試算条件!D$33)*試算条件!D$34)*試算条件!D20*試算条件!D21,$C$9*100*(1-試算条件!$C$10)*試算条件!D17*(1-試算条件!D31)*(1-(試算条件!D28+試算条件!D29))*試算条件!D20*試算条件!D21)</f>
        <v/>
      </c>
      <c r="E59" s="23">
        <f>IF($C$6="②COB白地",$C$9*100*(1-試算条件!$C$10)*試算条件!E17*(1-(試算条件!E28+試算条件!E29))*(試算条件!E$33*試算条件!E$35+(1-試算条件!E$33)*試算条件!E$34)*試算条件!E20*試算条件!E21,$C$9*100*(1-試算条件!$C$10)*試算条件!E17*(1-試算条件!E31)*(1-(試算条件!E28+試算条件!E29))*試算条件!E20*試算条件!E21)</f>
        <v/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2026-07-10T00:16:32Z</dcterms:modified>
  <cp:lastModifiedBy>新倉 到</cp:lastModifiedBy>
</cp:coreProperties>
</file>