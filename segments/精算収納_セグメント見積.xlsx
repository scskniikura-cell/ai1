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0.7655694779116465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精算収納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①COB既存・隣接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133.36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1.84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3.14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*(1-試算条件!D20)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*(1-試算条件!E20)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f>
        <v/>
      </c>
      <c r="D47" s="23">
        <f>IF($C$6="②COB白地",$C$8*100*(1-試算条件!$C$10)*試算条件!D17*(1-(試算条件!D26+試算条件!D27))*(試算条件!D$33*試算条件!D$35+(1-試算条件!D$33)*試算条件!D$34)*試算条件!D20*試算条件!D21,$C$8*100*(1-試算条件!$C$10)*試算条件!D17*(1-試算条件!D30)*(1-(試算条件!D26+試算条件!D27))*試算条件!D20*試算条件!D21)</f>
        <v/>
      </c>
      <c r="E47" s="23">
        <f>IF($C$6="②COB白地",$C$8*100*(1-試算条件!$C$10)*試算条件!E17*(1-(試算条件!E26+試算条件!E27))*(試算条件!E$33*試算条件!E$35+(1-試算条件!E$33)*試算条件!E$34)*試算条件!E20*試算条件!E21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*(1-試算条件!D20)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*(1-試算条件!E20)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f>
        <v/>
      </c>
      <c r="D59" s="23">
        <f>IF($C$6="②COB白地",$C$9*100*(1-試算条件!$C$10)*試算条件!D17*(1-(試算条件!D28+試算条件!D29))*(試算条件!D$33*試算条件!D$35+(1-試算条件!D$33)*試算条件!D$34)*試算条件!D20*試算条件!D21,$C$9*100*(1-試算条件!$C$10)*試算条件!D17*(1-試算条件!D31)*(1-(試算条件!D28+試算条件!D29))*試算条件!D20*試算条件!D21)</f>
        <v/>
      </c>
      <c r="E59" s="23">
        <f>IF($C$6="②COB白地",$C$9*100*(1-試算条件!$C$10)*試算条件!E17*(1-(試算条件!E28+試算条件!E29))*(試算条件!E$33*試算条件!E$35+(1-試算条件!E$33)*試算条件!E$34)*試算条件!E20*試算条件!E21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2026-07-10T00:16:32Z</dcterms:modified>
  <cp:lastModifiedBy>新倉 到</cp:lastModifiedBy>
</cp:coreProperties>
</file>